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ZIKA EGYETEM\4. FÉLÉV MINDEN TANTÁRGY MAPPÁJA\PEDA (FIZIKA MÓDSZERTAN)\PROJEKTNEK\"/>
    </mc:Choice>
  </mc:AlternateContent>
  <xr:revisionPtr revIDLastSave="0" documentId="13_ncr:1_{1F6FD1FD-E424-4E56-ACA0-0FCFC89E3C00}" xr6:coauthVersionLast="47" xr6:coauthVersionMax="47" xr10:uidLastSave="{00000000-0000-0000-0000-000000000000}"/>
  <bookViews>
    <workbookView xWindow="-120" yWindow="-120" windowWidth="29040" windowHeight="15840" xr2:uid="{FCCC1B0E-7598-43F9-8282-BF5BBC21E9E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Q24" i="1"/>
  <c r="M9" i="1"/>
  <c r="M10" i="1"/>
  <c r="M11" i="1"/>
  <c r="M12" i="1"/>
  <c r="M13" i="1"/>
  <c r="M8" i="1"/>
  <c r="I11" i="1"/>
  <c r="O11" i="1" s="1"/>
  <c r="I12" i="1"/>
  <c r="O12" i="1" s="1"/>
  <c r="I13" i="1"/>
  <c r="O13" i="1" s="1"/>
  <c r="H10" i="1"/>
  <c r="I10" i="1" s="1"/>
  <c r="H9" i="1"/>
  <c r="I9" i="1" s="1"/>
  <c r="O9" i="1" s="1"/>
  <c r="H11" i="1"/>
  <c r="H12" i="1"/>
  <c r="H13" i="1"/>
  <c r="H8" i="1"/>
  <c r="I8" i="1" s="1"/>
  <c r="O8" i="1" s="1"/>
  <c r="N22" i="1"/>
  <c r="I22" i="1"/>
  <c r="J22" i="1" s="1"/>
  <c r="N27" i="1"/>
  <c r="N26" i="1"/>
  <c r="I24" i="1"/>
  <c r="J24" i="1" s="1"/>
  <c r="I25" i="1"/>
  <c r="J25" i="1" s="1"/>
  <c r="I26" i="1"/>
  <c r="J26" i="1" s="1"/>
  <c r="I27" i="1"/>
  <c r="J27" i="1" s="1"/>
  <c r="N24" i="1"/>
  <c r="N25" i="1"/>
  <c r="I23" i="1"/>
  <c r="J23" i="1" s="1"/>
  <c r="N23" i="1"/>
  <c r="O10" i="1" l="1"/>
  <c r="P10" i="1"/>
  <c r="P26" i="1"/>
  <c r="P27" i="1"/>
  <c r="P24" i="1"/>
  <c r="P25" i="1"/>
  <c r="P23" i="1"/>
</calcChain>
</file>

<file path=xl/sharedStrings.xml><?xml version="1.0" encoding="utf-8"?>
<sst xmlns="http://schemas.openxmlformats.org/spreadsheetml/2006/main" count="29" uniqueCount="14">
  <si>
    <t>x</t>
  </si>
  <si>
    <t>y</t>
  </si>
  <si>
    <t>sin i2</t>
  </si>
  <si>
    <t>i1</t>
  </si>
  <si>
    <t>sin i1</t>
  </si>
  <si>
    <t>n</t>
  </si>
  <si>
    <t>pi</t>
  </si>
  <si>
    <t>cm</t>
  </si>
  <si>
    <t>fok</t>
  </si>
  <si>
    <t>rad</t>
  </si>
  <si>
    <t xml:space="preserve"> -------------</t>
  </si>
  <si>
    <t xml:space="preserve"> -----------</t>
  </si>
  <si>
    <t>n átlag</t>
  </si>
  <si>
    <t>&lt;n&gt;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</si>
</sst>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1" defaultTableStyle="TableStyleMedium2" defaultPivotStyle="PivotStyleLight16">
    <tableStyle name="Invisible" pivot="0" table="0" count="0" xr9:uid="{57DCCDC1-9AAE-4481-8189-9ED1376206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658966471175268E-2"/>
                  <c:y val="-5.114755330778789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Munka1!$M$31:$M$36</c:f>
              <c:numCache>
                <c:formatCode>General</c:formatCode>
                <c:ptCount val="6"/>
                <c:pt idx="0">
                  <c:v>0.70291041207656324</c:v>
                </c:pt>
                <c:pt idx="1">
                  <c:v>0.64018439966447993</c:v>
                </c:pt>
                <c:pt idx="2">
                  <c:v>0.57346234436332832</c:v>
                </c:pt>
                <c:pt idx="3">
                  <c:v>0.4781682663694502</c:v>
                </c:pt>
                <c:pt idx="4">
                  <c:v>0.37139067635410372</c:v>
                </c:pt>
                <c:pt idx="5">
                  <c:v>0.25766265056033233</c:v>
                </c:pt>
              </c:numCache>
            </c:numRef>
          </c:xVal>
          <c:yVal>
            <c:numRef>
              <c:f>Munka1!$N$31:$N$36</c:f>
              <c:numCache>
                <c:formatCode>General</c:formatCode>
                <c:ptCount val="6"/>
                <c:pt idx="0">
                  <c:v>0.93969262078590798</c:v>
                </c:pt>
                <c:pt idx="1">
                  <c:v>0.86602540378443815</c:v>
                </c:pt>
                <c:pt idx="2">
                  <c:v>0.76604444311897746</c:v>
                </c:pt>
                <c:pt idx="3">
                  <c:v>0.64278760968653881</c:v>
                </c:pt>
                <c:pt idx="4">
                  <c:v>0.49999999999999956</c:v>
                </c:pt>
                <c:pt idx="5">
                  <c:v>0.34202014332566838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E-4203-A4BC-3D2C492B5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087888"/>
        <c:axId val="219083088"/>
      </c:scatterChart>
      <c:valAx>
        <c:axId val="21908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19083088"/>
        <c:crosses val="autoZero"/>
        <c:crossBetween val="midCat"/>
      </c:valAx>
      <c:valAx>
        <c:axId val="21908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1908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71517</xdr:colOff>
      <xdr:row>20</xdr:row>
      <xdr:rowOff>79959</xdr:rowOff>
    </xdr:from>
    <xdr:to>
      <xdr:col>24</xdr:col>
      <xdr:colOff>60526</xdr:colOff>
      <xdr:row>32</xdr:row>
      <xdr:rowOff>28670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4C772BA-DF1A-2771-5A9A-45615DB5D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BF5E-4D65-4AC4-A314-E16CA987FF1A}">
  <dimension ref="G3:Q36"/>
  <sheetViews>
    <sheetView tabSelected="1" topLeftCell="A6" zoomScale="115" zoomScaleNormal="115" workbookViewId="0">
      <selection activeCell="V16" sqref="V16"/>
    </sheetView>
  </sheetViews>
  <sheetFormatPr defaultRowHeight="15" x14ac:dyDescent="0.25"/>
  <cols>
    <col min="10" max="10" width="9.5703125" customWidth="1"/>
  </cols>
  <sheetData>
    <row r="3" spans="7:16" x14ac:dyDescent="0.25">
      <c r="G3" t="s">
        <v>6</v>
      </c>
    </row>
    <row r="4" spans="7:16" x14ac:dyDescent="0.25">
      <c r="G4">
        <v>3.14159265358979</v>
      </c>
    </row>
    <row r="6" spans="7:16" x14ac:dyDescent="0.25">
      <c r="G6" t="s">
        <v>3</v>
      </c>
      <c r="H6" t="s">
        <v>3</v>
      </c>
      <c r="I6" t="s">
        <v>4</v>
      </c>
      <c r="K6" t="s">
        <v>0</v>
      </c>
      <c r="L6" t="s">
        <v>1</v>
      </c>
      <c r="M6" t="s">
        <v>2</v>
      </c>
      <c r="O6" t="s">
        <v>5</v>
      </c>
      <c r="P6" t="s">
        <v>13</v>
      </c>
    </row>
    <row r="7" spans="7:16" x14ac:dyDescent="0.25">
      <c r="G7" t="s">
        <v>8</v>
      </c>
      <c r="H7" t="s">
        <v>9</v>
      </c>
      <c r="K7" t="s">
        <v>7</v>
      </c>
      <c r="L7" t="s">
        <v>7</v>
      </c>
    </row>
    <row r="8" spans="7:16" x14ac:dyDescent="0.25">
      <c r="G8">
        <v>70</v>
      </c>
      <c r="H8">
        <f>G8*$G$4/180</f>
        <v>1.2217304763960295</v>
      </c>
      <c r="I8">
        <f>SIN(H8)</f>
        <v>0.93969262078590798</v>
      </c>
      <c r="K8">
        <v>8.4</v>
      </c>
      <c r="L8">
        <v>8.5</v>
      </c>
      <c r="M8">
        <f>K8/SQRT(K8*K8+L8*L8)</f>
        <v>0.70291041207656324</v>
      </c>
      <c r="O8">
        <f>I8/M8</f>
        <v>1.3368597258501751</v>
      </c>
    </row>
    <row r="9" spans="7:16" x14ac:dyDescent="0.25">
      <c r="G9">
        <v>60</v>
      </c>
      <c r="H9">
        <f t="shared" ref="H9:H13" si="0">G9*$G$4/180</f>
        <v>1.0471975511965967</v>
      </c>
      <c r="I9">
        <f t="shared" ref="I9:I13" si="1">SIN(H9)</f>
        <v>0.86602540378443815</v>
      </c>
      <c r="K9">
        <v>7.5</v>
      </c>
      <c r="L9">
        <v>9</v>
      </c>
      <c r="M9">
        <f t="shared" ref="M9:M13" si="2">K9/SQRT(K9*K9+L9*L9)</f>
        <v>0.64018439966447993</v>
      </c>
      <c r="O9">
        <f t="shared" ref="O9:O13" si="3">I9/M9</f>
        <v>1.3527749258468673</v>
      </c>
    </row>
    <row r="10" spans="7:16" x14ac:dyDescent="0.25">
      <c r="G10">
        <v>50</v>
      </c>
      <c r="H10">
        <f>G10*$G$4/180</f>
        <v>0.87266462599716388</v>
      </c>
      <c r="I10">
        <f t="shared" si="1"/>
        <v>0.76604444311897746</v>
      </c>
      <c r="K10">
        <v>6.3</v>
      </c>
      <c r="L10">
        <v>9</v>
      </c>
      <c r="M10">
        <f t="shared" si="2"/>
        <v>0.57346234436332832</v>
      </c>
      <c r="O10">
        <f t="shared" si="3"/>
        <v>1.3358234427222218</v>
      </c>
      <c r="P10">
        <f>AVERAGE(O8:O13)</f>
        <v>1.3405691917860505</v>
      </c>
    </row>
    <row r="11" spans="7:16" x14ac:dyDescent="0.25">
      <c r="G11">
        <v>40</v>
      </c>
      <c r="H11">
        <f t="shared" si="0"/>
        <v>0.69813170079773113</v>
      </c>
      <c r="I11">
        <f t="shared" si="1"/>
        <v>0.64278760968653881</v>
      </c>
      <c r="K11">
        <v>4.9000000000000004</v>
      </c>
      <c r="L11">
        <v>9</v>
      </c>
      <c r="M11">
        <f t="shared" si="2"/>
        <v>0.4781682663694502</v>
      </c>
      <c r="O11">
        <f t="shared" si="3"/>
        <v>1.3442707408565204</v>
      </c>
    </row>
    <row r="12" spans="7:16" x14ac:dyDescent="0.25">
      <c r="G12">
        <v>30</v>
      </c>
      <c r="H12">
        <f t="shared" si="0"/>
        <v>0.52359877559829837</v>
      </c>
      <c r="I12">
        <f t="shared" si="1"/>
        <v>0.49999999999999956</v>
      </c>
      <c r="K12">
        <v>3.6</v>
      </c>
      <c r="L12">
        <v>9</v>
      </c>
      <c r="M12">
        <f t="shared" si="2"/>
        <v>0.37139067635410372</v>
      </c>
      <c r="O12">
        <f t="shared" si="3"/>
        <v>1.3462912017836248</v>
      </c>
    </row>
    <row r="13" spans="7:16" x14ac:dyDescent="0.25">
      <c r="G13">
        <v>20</v>
      </c>
      <c r="H13">
        <f t="shared" si="0"/>
        <v>0.34906585039886556</v>
      </c>
      <c r="I13">
        <f t="shared" si="1"/>
        <v>0.34202014332566838</v>
      </c>
      <c r="K13">
        <v>2.4</v>
      </c>
      <c r="L13">
        <v>9</v>
      </c>
      <c r="M13">
        <f t="shared" si="2"/>
        <v>0.25766265056033233</v>
      </c>
      <c r="O13">
        <f t="shared" si="3"/>
        <v>1.327395113656892</v>
      </c>
    </row>
    <row r="19" spans="7:17" x14ac:dyDescent="0.25">
      <c r="G19" t="s">
        <v>6</v>
      </c>
      <c r="H19" t="s">
        <v>11</v>
      </c>
      <c r="L19" t="s">
        <v>10</v>
      </c>
      <c r="M19" t="s">
        <v>10</v>
      </c>
    </row>
    <row r="20" spans="7:17" x14ac:dyDescent="0.25">
      <c r="G20">
        <v>3.14159265358979</v>
      </c>
      <c r="H20" t="s">
        <v>3</v>
      </c>
      <c r="I20" t="s">
        <v>3</v>
      </c>
      <c r="J20" t="s">
        <v>4</v>
      </c>
      <c r="L20" t="s">
        <v>0</v>
      </c>
      <c r="M20" t="s">
        <v>1</v>
      </c>
      <c r="N20" t="s">
        <v>2</v>
      </c>
      <c r="P20" t="s">
        <v>5</v>
      </c>
      <c r="Q20" t="s">
        <v>12</v>
      </c>
    </row>
    <row r="21" spans="7:17" x14ac:dyDescent="0.25">
      <c r="H21" t="s">
        <v>8</v>
      </c>
      <c r="I21" t="s">
        <v>9</v>
      </c>
      <c r="L21" t="s">
        <v>7</v>
      </c>
      <c r="M21" t="s">
        <v>7</v>
      </c>
    </row>
    <row r="22" spans="7:17" x14ac:dyDescent="0.25">
      <c r="H22">
        <v>70</v>
      </c>
      <c r="I22">
        <f t="shared" ref="I22:I27" si="4">H22*$G$20/180</f>
        <v>1.2217304763960295</v>
      </c>
      <c r="J22">
        <f>SIN(I22)</f>
        <v>0.93969262078590798</v>
      </c>
      <c r="L22">
        <v>8.4</v>
      </c>
      <c r="M22">
        <v>8.5</v>
      </c>
      <c r="N22">
        <f t="shared" ref="N22:N27" si="5">L22/(SQRT(L22*L22+M22*M22))</f>
        <v>0.70291041207656324</v>
      </c>
      <c r="P22">
        <f>J22/N22</f>
        <v>1.3368597258501751</v>
      </c>
    </row>
    <row r="23" spans="7:17" x14ac:dyDescent="0.25">
      <c r="H23">
        <v>60</v>
      </c>
      <c r="I23">
        <f t="shared" si="4"/>
        <v>1.0471975511965967</v>
      </c>
      <c r="J23">
        <f>SIN(I23)</f>
        <v>0.86602540378443815</v>
      </c>
      <c r="L23">
        <v>7.5</v>
      </c>
      <c r="M23">
        <v>9</v>
      </c>
      <c r="N23">
        <f t="shared" si="5"/>
        <v>0.64018439966447993</v>
      </c>
      <c r="P23">
        <f t="shared" ref="P22:P27" si="6">J23/N23</f>
        <v>1.3527749258468673</v>
      </c>
    </row>
    <row r="24" spans="7:17" x14ac:dyDescent="0.25">
      <c r="H24">
        <v>50</v>
      </c>
      <c r="I24">
        <f t="shared" si="4"/>
        <v>0.87266462599716388</v>
      </c>
      <c r="J24">
        <f t="shared" ref="J24:J26" si="7">SIN(I24)</f>
        <v>0.76604444311897746</v>
      </c>
      <c r="L24">
        <v>6.3</v>
      </c>
      <c r="M24">
        <v>9</v>
      </c>
      <c r="N24">
        <f t="shared" si="5"/>
        <v>0.57346234436332832</v>
      </c>
      <c r="P24">
        <f t="shared" si="6"/>
        <v>1.3358234427222218</v>
      </c>
      <c r="Q24">
        <f>AVERAGE(P22:P27)</f>
        <v>1.3405691917860505</v>
      </c>
    </row>
    <row r="25" spans="7:17" x14ac:dyDescent="0.25">
      <c r="H25">
        <v>40</v>
      </c>
      <c r="I25">
        <f t="shared" si="4"/>
        <v>0.69813170079773113</v>
      </c>
      <c r="J25">
        <f t="shared" si="7"/>
        <v>0.64278760968653881</v>
      </c>
      <c r="L25">
        <v>4.9000000000000004</v>
      </c>
      <c r="M25">
        <v>9</v>
      </c>
      <c r="N25">
        <f t="shared" si="5"/>
        <v>0.4781682663694502</v>
      </c>
      <c r="P25">
        <f t="shared" si="6"/>
        <v>1.3442707408565204</v>
      </c>
    </row>
    <row r="26" spans="7:17" x14ac:dyDescent="0.25">
      <c r="H26">
        <v>30</v>
      </c>
      <c r="I26">
        <f t="shared" si="4"/>
        <v>0.52359877559829837</v>
      </c>
      <c r="J26">
        <f t="shared" si="7"/>
        <v>0.49999999999999956</v>
      </c>
      <c r="L26">
        <v>3.6</v>
      </c>
      <c r="M26">
        <v>9</v>
      </c>
      <c r="N26">
        <f t="shared" si="5"/>
        <v>0.37139067635410372</v>
      </c>
      <c r="P26">
        <f t="shared" si="6"/>
        <v>1.3462912017836248</v>
      </c>
    </row>
    <row r="27" spans="7:17" x14ac:dyDescent="0.25">
      <c r="H27">
        <v>20</v>
      </c>
      <c r="I27">
        <f t="shared" si="4"/>
        <v>0.34906585039886556</v>
      </c>
      <c r="J27">
        <f>SIN(I27)</f>
        <v>0.34202014332566838</v>
      </c>
      <c r="L27">
        <v>2.4</v>
      </c>
      <c r="M27">
        <v>9</v>
      </c>
      <c r="N27">
        <f t="shared" si="5"/>
        <v>0.25766265056033233</v>
      </c>
      <c r="P27">
        <f t="shared" si="6"/>
        <v>1.327395113656892</v>
      </c>
    </row>
    <row r="31" spans="7:17" x14ac:dyDescent="0.25">
      <c r="M31">
        <v>0.70291041207656324</v>
      </c>
      <c r="N31">
        <v>0.93969262078590798</v>
      </c>
    </row>
    <row r="32" spans="7:17" x14ac:dyDescent="0.25">
      <c r="M32">
        <v>0.64018439966447993</v>
      </c>
      <c r="N32">
        <v>0.86602540378443815</v>
      </c>
    </row>
    <row r="33" spans="13:14" x14ac:dyDescent="0.25">
      <c r="M33">
        <v>0.57346234436332832</v>
      </c>
      <c r="N33">
        <v>0.76604444311897746</v>
      </c>
    </row>
    <row r="34" spans="13:14" x14ac:dyDescent="0.25">
      <c r="M34">
        <v>0.4781682663694502</v>
      </c>
      <c r="N34">
        <v>0.64278760968653881</v>
      </c>
    </row>
    <row r="35" spans="13:14" x14ac:dyDescent="0.25">
      <c r="M35">
        <v>0.37139067635410372</v>
      </c>
      <c r="N35">
        <v>0.49999999999999956</v>
      </c>
    </row>
    <row r="36" spans="13:14" x14ac:dyDescent="0.25">
      <c r="M36">
        <v>0.25766265056033233</v>
      </c>
      <c r="N36">
        <v>0.34202014332566838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ZSOLT GYARMATHY</dc:creator>
  <cp:lastModifiedBy>ZSOLT GYARMATHY</cp:lastModifiedBy>
  <dcterms:created xsi:type="dcterms:W3CDTF">2025-05-27T19:43:47Z</dcterms:created>
  <dcterms:modified xsi:type="dcterms:W3CDTF">2025-05-29T19:40:30Z</dcterms:modified>
</cp:coreProperties>
</file>