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ZIKA EGYETEM\4. FÉLÉV MINDEN TANTÁRGY MAPPÁJA\PEDA (FIZIKA MÓDSZERTAN)\PROJEKTNEK\"/>
    </mc:Choice>
  </mc:AlternateContent>
  <xr:revisionPtr revIDLastSave="0" documentId="13_ncr:1_{2C2C44B3-18F5-4879-8EBD-245C178A9662}" xr6:coauthVersionLast="47" xr6:coauthVersionMax="47" xr10:uidLastSave="{00000000-0000-0000-0000-000000000000}"/>
  <bookViews>
    <workbookView xWindow="-120" yWindow="-120" windowWidth="29040" windowHeight="15840" xr2:uid="{0CAAB508-5B56-46FE-AE1B-DF2ACCF06B0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" l="1"/>
  <c r="U12" i="1" s="1"/>
  <c r="Z12" i="1"/>
  <c r="T12" i="1"/>
  <c r="S12" i="1"/>
  <c r="AD12" i="1" l="1"/>
  <c r="AC12" i="1"/>
</calcChain>
</file>

<file path=xl/sharedStrings.xml><?xml version="1.0" encoding="utf-8"?>
<sst xmlns="http://schemas.openxmlformats.org/spreadsheetml/2006/main" count="39" uniqueCount="32">
  <si>
    <t>// vízmélység</t>
  </si>
  <si>
    <t>double y1=0.034;    // m</t>
  </si>
  <si>
    <t>// Fontos hogy a fele távolságnál jöjjön be a fénysugár és hogy jó keskeny legyen a sugár</t>
  </si>
  <si>
    <t>double epszi=0.43;    // x1-nek a hányad részénél megy be a merőleges fénysugár</t>
  </si>
  <si>
    <t>// vízfelület és tükör találkozási pont &lt;----&gt; tükör aljának  [vízszintes távolság] [a tál oldalán mérem]  pl 8 cm = 0.08 m</t>
  </si>
  <si>
    <t>double x1= 0.075;    //méter</t>
  </si>
  <si>
    <t>// vízfelület és tükör találkozási pont &lt;----&gt; tükör alja  [tükrön mérem]    pl 10 cm = 0.1 m</t>
  </si>
  <si>
    <t>double x2= 0.079;     //méter</t>
  </si>
  <si>
    <t>// adott színvonal a falon &lt;----&gt; padlóhoz mérve [falon mérem]    pl 50 cm = 0.5 m</t>
  </si>
  <si>
    <t>double H= 0.9;      //méter</t>
  </si>
  <si>
    <t>// Távolság  fal  &lt;----&gt;  (vízfelület - tükör) találkozási pont  közt</t>
  </si>
  <si>
    <t>double D= 1.535;          //méter</t>
  </si>
  <si>
    <t>// A falon egy piros és egy sárga csík közötti távolság ,ez is lemérhető, H1+delta_y</t>
  </si>
  <si>
    <t>double delta_y=0.01;    //méter</t>
  </si>
  <si>
    <t>x1</t>
  </si>
  <si>
    <t>x2</t>
  </si>
  <si>
    <t>cos alfa</t>
  </si>
  <si>
    <t>sin alfa</t>
  </si>
  <si>
    <t>y1</t>
  </si>
  <si>
    <t>//////////</t>
  </si>
  <si>
    <t>///////////</t>
  </si>
  <si>
    <t>D</t>
  </si>
  <si>
    <t>epszi</t>
  </si>
  <si>
    <t>epszi szer x1</t>
  </si>
  <si>
    <t>H1</t>
  </si>
  <si>
    <t>H2</t>
  </si>
  <si>
    <t>m</t>
  </si>
  <si>
    <t>n</t>
  </si>
  <si>
    <t>tg2alfa</t>
  </si>
  <si>
    <t>tgalfa</t>
  </si>
  <si>
    <t>y0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</si>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</sst>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D99B1E0D-6836-4E58-901D-B78189460B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29</xdr:row>
      <xdr:rowOff>104775</xdr:rowOff>
    </xdr:from>
    <xdr:to>
      <xdr:col>21</xdr:col>
      <xdr:colOff>191287</xdr:colOff>
      <xdr:row>36</xdr:row>
      <xdr:rowOff>104961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50FE0880-D479-8E61-3501-1D3ECAA4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0450" y="5629275"/>
          <a:ext cx="5639587" cy="1333686"/>
        </a:xfrm>
        <a:prstGeom prst="rect">
          <a:avLst/>
        </a:prstGeom>
      </xdr:spPr>
    </xdr:pic>
    <xdr:clientData/>
  </xdr:twoCellAnchor>
  <xdr:twoCellAnchor editAs="oneCell">
    <xdr:from>
      <xdr:col>22</xdr:col>
      <xdr:colOff>409575</xdr:colOff>
      <xdr:row>23</xdr:row>
      <xdr:rowOff>47625</xdr:rowOff>
    </xdr:from>
    <xdr:to>
      <xdr:col>25</xdr:col>
      <xdr:colOff>714673</xdr:colOff>
      <xdr:row>33</xdr:row>
      <xdr:rowOff>171733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47A25779-83BC-083D-7D13-9ED338AE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77925" y="4429125"/>
          <a:ext cx="2133898" cy="2029108"/>
        </a:xfrm>
        <a:prstGeom prst="rect">
          <a:avLst/>
        </a:prstGeom>
      </xdr:spPr>
    </xdr:pic>
    <xdr:clientData/>
  </xdr:twoCellAnchor>
  <xdr:twoCellAnchor editAs="oneCell">
    <xdr:from>
      <xdr:col>15</xdr:col>
      <xdr:colOff>590550</xdr:colOff>
      <xdr:row>14</xdr:row>
      <xdr:rowOff>142875</xdr:rowOff>
    </xdr:from>
    <xdr:to>
      <xdr:col>29</xdr:col>
      <xdr:colOff>600075</xdr:colOff>
      <xdr:row>18</xdr:row>
      <xdr:rowOff>152400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51FF3844-236A-CE16-CDBE-569630CF4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2809875"/>
          <a:ext cx="88201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357189</xdr:colOff>
      <xdr:row>0</xdr:row>
      <xdr:rowOff>0</xdr:rowOff>
    </xdr:from>
    <xdr:to>
      <xdr:col>28</xdr:col>
      <xdr:colOff>195262</xdr:colOff>
      <xdr:row>7</xdr:row>
      <xdr:rowOff>142558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FA1A5A13-8AFD-C16A-1C48-A4CB1380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3189" y="0"/>
          <a:ext cx="7529511" cy="1476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6E1C-40EC-4749-9695-59515FC8B186}">
  <dimension ref="E9:AS28"/>
  <sheetViews>
    <sheetView tabSelected="1" zoomScale="40" zoomScaleNormal="40" workbookViewId="0">
      <selection activeCell="AG9" sqref="AG9:AU12"/>
    </sheetView>
  </sheetViews>
  <sheetFormatPr defaultRowHeight="15" x14ac:dyDescent="0.25"/>
  <cols>
    <col min="20" max="20" width="10" customWidth="1"/>
    <col min="26" max="26" width="12.42578125" customWidth="1"/>
    <col min="41" max="41" width="7.42578125" customWidth="1"/>
    <col min="42" max="42" width="6.5703125" customWidth="1"/>
    <col min="44" max="44" width="5.140625" customWidth="1"/>
    <col min="45" max="45" width="4.85546875" customWidth="1"/>
  </cols>
  <sheetData>
    <row r="9" spans="5:45" ht="24" customHeight="1" x14ac:dyDescent="0.25">
      <c r="E9" t="s">
        <v>0</v>
      </c>
      <c r="Q9" t="s">
        <v>19</v>
      </c>
      <c r="R9" t="s">
        <v>20</v>
      </c>
      <c r="W9" t="s">
        <v>20</v>
      </c>
      <c r="X9" t="s">
        <v>20</v>
      </c>
      <c r="Y9" t="s">
        <v>20</v>
      </c>
      <c r="Z9" t="s">
        <v>20</v>
      </c>
    </row>
    <row r="10" spans="5:45" ht="33" customHeight="1" x14ac:dyDescent="0.25">
      <c r="E10" t="s">
        <v>1</v>
      </c>
      <c r="P10" t="s">
        <v>30</v>
      </c>
      <c r="Q10" t="s">
        <v>14</v>
      </c>
      <c r="R10" t="s">
        <v>15</v>
      </c>
      <c r="S10" t="s">
        <v>16</v>
      </c>
      <c r="T10" t="s">
        <v>17</v>
      </c>
      <c r="U10" t="s">
        <v>28</v>
      </c>
      <c r="V10" t="s">
        <v>29</v>
      </c>
      <c r="W10" t="s">
        <v>18</v>
      </c>
      <c r="X10" t="s">
        <v>21</v>
      </c>
      <c r="Y10" t="s">
        <v>22</v>
      </c>
      <c r="Z10" t="s">
        <v>23</v>
      </c>
      <c r="AA10" s="1" t="s">
        <v>24</v>
      </c>
      <c r="AB10" s="1" t="s">
        <v>25</v>
      </c>
      <c r="AC10" t="s">
        <v>27</v>
      </c>
      <c r="AR10" s="1"/>
      <c r="AS10" s="1"/>
    </row>
    <row r="11" spans="5:45" ht="33" customHeight="1" x14ac:dyDescent="0.25">
      <c r="P11" t="s">
        <v>26</v>
      </c>
      <c r="Q11" t="s">
        <v>26</v>
      </c>
      <c r="R11" t="s">
        <v>26</v>
      </c>
      <c r="W11" t="s">
        <v>26</v>
      </c>
    </row>
    <row r="12" spans="5:45" ht="39" customHeight="1" x14ac:dyDescent="0.25">
      <c r="E12" t="s">
        <v>2</v>
      </c>
      <c r="P12">
        <v>5.0000000000000001E-3</v>
      </c>
      <c r="Q12">
        <v>7.2999999999999995E-2</v>
      </c>
      <c r="R12">
        <v>7.9000000000000001E-2</v>
      </c>
      <c r="S12">
        <f>Q12/R12</f>
        <v>0.92405063291139233</v>
      </c>
      <c r="T12">
        <f>SQRT(R12*R12-Q12*Q12)/R12</f>
        <v>0.38227009798839251</v>
      </c>
      <c r="U12">
        <f>2*V12/(1-V12*V12)</f>
        <v>0.99821220516144893</v>
      </c>
      <c r="V12">
        <f>SQRT(R12*R12-Q12*Q12)/Q12</f>
        <v>0.41368955809702751</v>
      </c>
      <c r="W12">
        <v>3.4000000000000002E-2</v>
      </c>
      <c r="X12">
        <v>1.5349999999999999</v>
      </c>
      <c r="Y12">
        <v>0.43</v>
      </c>
      <c r="Z12">
        <f>Y12*Q12</f>
        <v>3.1389999999999994E-2</v>
      </c>
      <c r="AA12">
        <v>0.9</v>
      </c>
      <c r="AB12">
        <v>0.91</v>
      </c>
      <c r="AC12">
        <f>1/(T12*SQRT((AA12-W12-P12)/(X12-Z12*(U12*V12))^2+4*S12*S12))</f>
        <v>1.3442305621900308</v>
      </c>
      <c r="AD12">
        <f>1/(T12*SQRT((AB12-W12-P12)/(X12-Z12*(U12*V12))^2+4*S12*S12))</f>
        <v>1.3434651239067572</v>
      </c>
    </row>
    <row r="13" spans="5:45" x14ac:dyDescent="0.25">
      <c r="E13" t="s">
        <v>3</v>
      </c>
    </row>
    <row r="15" spans="5:45" x14ac:dyDescent="0.25">
      <c r="E15" t="s">
        <v>4</v>
      </c>
    </row>
    <row r="16" spans="5:45" x14ac:dyDescent="0.25">
      <c r="E16" t="s">
        <v>5</v>
      </c>
    </row>
    <row r="18" spans="5:17" x14ac:dyDescent="0.25">
      <c r="E18" t="s">
        <v>6</v>
      </c>
    </row>
    <row r="19" spans="5:17" x14ac:dyDescent="0.25">
      <c r="E19" t="s">
        <v>7</v>
      </c>
      <c r="Q19" t="s">
        <v>31</v>
      </c>
    </row>
    <row r="21" spans="5:17" x14ac:dyDescent="0.25">
      <c r="E21" t="s">
        <v>8</v>
      </c>
    </row>
    <row r="22" spans="5:17" x14ac:dyDescent="0.25">
      <c r="E22" t="s">
        <v>9</v>
      </c>
    </row>
    <row r="24" spans="5:17" x14ac:dyDescent="0.25">
      <c r="E24" t="s">
        <v>10</v>
      </c>
    </row>
    <row r="25" spans="5:17" x14ac:dyDescent="0.25">
      <c r="E25" t="s">
        <v>11</v>
      </c>
    </row>
    <row r="27" spans="5:17" x14ac:dyDescent="0.25">
      <c r="E27" t="s">
        <v>12</v>
      </c>
    </row>
    <row r="28" spans="5:17" x14ac:dyDescent="0.25">
      <c r="E28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 GYARMATHY</dc:creator>
  <cp:lastModifiedBy>ZSOLT GYARMATHY</cp:lastModifiedBy>
  <dcterms:created xsi:type="dcterms:W3CDTF">2025-05-28T19:48:27Z</dcterms:created>
  <dcterms:modified xsi:type="dcterms:W3CDTF">2025-05-29T21:29:19Z</dcterms:modified>
</cp:coreProperties>
</file>